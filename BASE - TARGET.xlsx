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automaçao target\"/>
    </mc:Choice>
  </mc:AlternateContent>
  <xr:revisionPtr revIDLastSave="0" documentId="13_ncr:1_{EBFFEA96-227F-4FF2-9BC3-13A53DC4C7F9}" xr6:coauthVersionLast="47" xr6:coauthVersionMax="47" xr10:uidLastSave="{00000000-0000-0000-0000-000000000000}"/>
  <bookViews>
    <workbookView xWindow="2865" yWindow="3150" windowWidth="21600" windowHeight="11385" firstSheet="5" activeTab="5" xr2:uid="{5F8D3354-54E9-460F-B581-9F630536AB6E}"/>
  </bookViews>
  <sheets>
    <sheet name="Planilha5" sheetId="5" state="hidden" r:id="rId1"/>
    <sheet name="Planilha6" sheetId="6" state="hidden" r:id="rId2"/>
    <sheet name="Planilha7" sheetId="7" state="hidden" r:id="rId3"/>
    <sheet name="Planilha8" sheetId="8" state="hidden" r:id="rId4"/>
    <sheet name="Planilha1" sheetId="9" state="hidden" r:id="rId5"/>
    <sheet name="Planilha2" sheetId="10" r:id="rId6"/>
    <sheet name="Planilha2 (2)" sheetId="11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1" l="1"/>
  <c r="G11" i="11"/>
  <c r="M10" i="11"/>
  <c r="G10" i="11"/>
  <c r="M9" i="11"/>
  <c r="G9" i="11"/>
  <c r="M8" i="11"/>
  <c r="G8" i="11"/>
  <c r="M7" i="11"/>
  <c r="G7" i="11"/>
  <c r="M11" i="10"/>
  <c r="M10" i="10"/>
  <c r="M9" i="10"/>
  <c r="M8" i="10"/>
  <c r="M7" i="10"/>
  <c r="G8" i="10"/>
  <c r="G9" i="10"/>
  <c r="G10" i="10"/>
  <c r="G11" i="10"/>
  <c r="G7" i="10"/>
  <c r="D9" i="9" l="1"/>
  <c r="B9" i="9"/>
  <c r="D5" i="9"/>
  <c r="D6" i="9"/>
  <c r="D7" i="9"/>
  <c r="D8" i="9"/>
  <c r="D4" i="9"/>
  <c r="B17" i="8" l="1"/>
  <c r="D5" i="8" l="1"/>
  <c r="D6" i="8"/>
  <c r="D7" i="8"/>
  <c r="D8" i="8"/>
  <c r="D9" i="8"/>
  <c r="D10" i="8"/>
  <c r="D11" i="8"/>
  <c r="D12" i="8"/>
  <c r="D13" i="8"/>
  <c r="D14" i="8"/>
  <c r="D15" i="8"/>
  <c r="D16" i="8"/>
  <c r="D4" i="8"/>
  <c r="D17" i="8" l="1"/>
  <c r="B13" i="7"/>
  <c r="D4" i="7"/>
  <c r="D5" i="7"/>
  <c r="D6" i="7"/>
  <c r="D7" i="7"/>
  <c r="D8" i="7"/>
  <c r="D9" i="7"/>
  <c r="D10" i="7"/>
  <c r="D11" i="7"/>
  <c r="D12" i="7"/>
  <c r="D3" i="7"/>
  <c r="D13" i="7" s="1"/>
  <c r="D14" i="6" l="1"/>
  <c r="D13" i="6"/>
  <c r="B11" i="6"/>
  <c r="D4" i="6"/>
  <c r="D5" i="6"/>
  <c r="D6" i="6"/>
  <c r="D7" i="6"/>
  <c r="D8" i="6"/>
  <c r="D9" i="6"/>
  <c r="D10" i="6"/>
  <c r="D3" i="6"/>
  <c r="D11" i="6" l="1"/>
  <c r="B14" i="5"/>
  <c r="D4" i="5"/>
  <c r="D5" i="5"/>
  <c r="D6" i="5"/>
  <c r="D7" i="5"/>
  <c r="D8" i="5"/>
  <c r="D9" i="5"/>
  <c r="D10" i="5"/>
  <c r="D11" i="5"/>
  <c r="D12" i="5"/>
  <c r="D13" i="5"/>
  <c r="D3" i="5"/>
  <c r="D14" i="5" s="1"/>
</calcChain>
</file>

<file path=xl/sharedStrings.xml><?xml version="1.0" encoding="utf-8"?>
<sst xmlns="http://schemas.openxmlformats.org/spreadsheetml/2006/main" count="167" uniqueCount="61">
  <si>
    <t>Nº Compra </t>
  </si>
  <si>
    <t>Valor</t>
  </si>
  <si>
    <t>Placa</t>
  </si>
  <si>
    <t>DJC6847</t>
  </si>
  <si>
    <t>DPE3E87</t>
  </si>
  <si>
    <t>TUG8J62</t>
  </si>
  <si>
    <t>KMR9I57</t>
  </si>
  <si>
    <t>LCQ6I75</t>
  </si>
  <si>
    <t>LLJ6E95</t>
  </si>
  <si>
    <t>TUS5G84</t>
  </si>
  <si>
    <t>S/N - MKE7G82 - TAG 10203772</t>
  </si>
  <si>
    <t>EVENTO</t>
  </si>
  <si>
    <t>TARIFAS DE COBRANCA - TAG 10203772</t>
  </si>
  <si>
    <t>DPE2807</t>
  </si>
  <si>
    <t>KVY3F77</t>
  </si>
  <si>
    <t>LFH8339</t>
  </si>
  <si>
    <t>CXA4E12</t>
  </si>
  <si>
    <t>KIY2259</t>
  </si>
  <si>
    <t>DPF8G05</t>
  </si>
  <si>
    <t>LEJ4I04</t>
  </si>
  <si>
    <t>LMI9D12</t>
  </si>
  <si>
    <t>LAK2A24</t>
  </si>
  <si>
    <t>QQS2H20</t>
  </si>
  <si>
    <t>DBM2H12</t>
  </si>
  <si>
    <t>RJB6I28</t>
  </si>
  <si>
    <t>RKM6B00</t>
  </si>
  <si>
    <t>OFL4E93</t>
  </si>
  <si>
    <t>KWB9I49</t>
  </si>
  <si>
    <t>DBC3J70</t>
  </si>
  <si>
    <t>QUE3054</t>
  </si>
  <si>
    <t>LUP4C16</t>
  </si>
  <si>
    <t>CBS9E24</t>
  </si>
  <si>
    <t>LMD8I29</t>
  </si>
  <si>
    <t>ETU8B37</t>
  </si>
  <si>
    <t>ACY6F06</t>
  </si>
  <si>
    <t>DBM2C26</t>
  </si>
  <si>
    <t xml:space="preserve">Nº Compra </t>
  </si>
  <si>
    <t>LHV2419</t>
  </si>
  <si>
    <t>Evento</t>
  </si>
  <si>
    <t>Fornecedor</t>
  </si>
  <si>
    <t>Unidade</t>
  </si>
  <si>
    <t>Data de emissão</t>
  </si>
  <si>
    <t>Data de entrada</t>
  </si>
  <si>
    <t>Data de vencimento</t>
  </si>
  <si>
    <t>Data de pagamento</t>
  </si>
  <si>
    <t>Competência</t>
  </si>
  <si>
    <t>Histórico</t>
  </si>
  <si>
    <t>Série</t>
  </si>
  <si>
    <t>Modelo</t>
  </si>
  <si>
    <t>Valor da parcela</t>
  </si>
  <si>
    <t>S/N - KIY2259 - TAG 10426238</t>
  </si>
  <si>
    <t>S/N - KMR9I57 - TAG 10426197</t>
  </si>
  <si>
    <t>S/N - LCQ6I75 - TAG 10426192</t>
  </si>
  <si>
    <t>S/N - CXA4E12 - TAG 10426189</t>
  </si>
  <si>
    <t>S/N - LHV2419 - TAG 10426184</t>
  </si>
  <si>
    <t>TARIFAS DE COBRANCA - TAG 10426238</t>
  </si>
  <si>
    <t>TARIFAS DE COBRANCA - TAG 10426197</t>
  </si>
  <si>
    <t>TARIFAS DE COBRANCA - TAG 10426192</t>
  </si>
  <si>
    <t>TARIFAS DE COBRANCA - TAG 10426189</t>
  </si>
  <si>
    <t>TARIFAS DE COBRANCA - TAG 10426184</t>
  </si>
  <si>
    <t>FSP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</si>
</sst>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3" fontId="0" fillId="0" borderId="0" xfId="1" applyFont="1"/>
    <xf numFmtId="10" fontId="0" fillId="0" borderId="0" xfId="1" applyNumberFormat="1" applyFont="1"/>
    <xf numFmtId="0" fontId="0" fillId="0" borderId="0" xfId="0" applyAlignment="1">
      <alignment horizontal="center"/>
    </xf>
    <xf numFmtId="43" fontId="0" fillId="2" borderId="0" xfId="1" applyFont="1" applyFill="1"/>
    <xf numFmtId="43" fontId="0" fillId="0" borderId="0" xfId="0" applyNumberFormat="1"/>
    <xf numFmtId="43" fontId="0" fillId="2" borderId="0" xfId="0" applyNumberFormat="1" applyFill="1"/>
    <xf numFmtId="43" fontId="0" fillId="3" borderId="0" xfId="1" applyFont="1" applyFill="1"/>
    <xf numFmtId="22" fontId="0" fillId="0" borderId="0" xfId="0" applyNumberFormat="1"/>
    <xf numFmtId="43" fontId="0" fillId="0" borderId="0" xfId="1" applyFont="1" applyFill="1"/>
    <xf numFmtId="0" fontId="0" fillId="2" borderId="0" xfId="0" applyFill="1"/>
    <xf numFmtId="43" fontId="0" fillId="0" borderId="0" xfId="1" applyFont="1" applyAlignment="1">
      <alignment horizontal="center"/>
    </xf>
    <xf numFmtId="14" fontId="0" fillId="0" borderId="0" xfId="1" applyNumberFormat="1" applyFont="1"/>
    <xf numFmtId="17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5575-FD90-4084-B506-99C04A36F33A}">
  <dimension ref="A1:I14"/>
  <sheetViews>
    <sheetView workbookViewId="0">
      <selection activeCell="F39" sqref="F39"/>
    </sheetView>
  </sheetViews>
  <sheetFormatPr defaultRowHeight="15" x14ac:dyDescent="0.25"/>
  <cols>
    <col min="2" max="2" width="9.5703125" style="1" bestFit="1" customWidth="1"/>
    <col min="4" max="4" width="9.140625" style="1"/>
    <col min="5" max="5" width="14.28515625" customWidth="1"/>
    <col min="6" max="6" width="35.85546875" bestFit="1" customWidth="1"/>
  </cols>
  <sheetData>
    <row r="1" spans="1:9" x14ac:dyDescent="0.25">
      <c r="F1" t="s">
        <v>10</v>
      </c>
      <c r="H1" t="s">
        <v>11</v>
      </c>
      <c r="I1">
        <v>7022</v>
      </c>
    </row>
    <row r="2" spans="1:9" x14ac:dyDescent="0.25">
      <c r="A2" t="s">
        <v>0</v>
      </c>
      <c r="B2" s="1" t="s">
        <v>1</v>
      </c>
      <c r="E2" t="s">
        <v>2</v>
      </c>
    </row>
    <row r="3" spans="1:9" x14ac:dyDescent="0.25">
      <c r="A3">
        <v>10372153</v>
      </c>
      <c r="B3" s="7">
        <v>350.21</v>
      </c>
      <c r="C3" s="2">
        <v>5.0000000000000001E-3</v>
      </c>
      <c r="D3" s="7">
        <f>B3*C3</f>
        <v>1.75105</v>
      </c>
      <c r="E3" t="s">
        <v>23</v>
      </c>
      <c r="F3" t="s">
        <v>12</v>
      </c>
      <c r="H3" t="s">
        <v>11</v>
      </c>
      <c r="I3">
        <v>7564</v>
      </c>
    </row>
    <row r="4" spans="1:9" x14ac:dyDescent="0.25">
      <c r="A4">
        <v>10372122</v>
      </c>
      <c r="B4" s="7">
        <v>378.48</v>
      </c>
      <c r="C4" s="2">
        <v>5.0000000000000001E-3</v>
      </c>
      <c r="D4" s="7">
        <f t="shared" ref="D4:D13" si="0">B4*C4</f>
        <v>1.8924000000000001</v>
      </c>
      <c r="E4" t="s">
        <v>13</v>
      </c>
    </row>
    <row r="5" spans="1:9" x14ac:dyDescent="0.25">
      <c r="A5">
        <v>10372085</v>
      </c>
      <c r="B5" s="7">
        <v>315.41000000000003</v>
      </c>
      <c r="C5" s="2">
        <v>5.0000000000000001E-3</v>
      </c>
      <c r="D5" s="7">
        <f t="shared" si="0"/>
        <v>1.5770500000000001</v>
      </c>
      <c r="E5" t="s">
        <v>18</v>
      </c>
    </row>
    <row r="6" spans="1:9" x14ac:dyDescent="0.25">
      <c r="A6">
        <v>10367269</v>
      </c>
      <c r="B6" s="7">
        <v>478.8</v>
      </c>
      <c r="C6" s="2">
        <v>5.0000000000000001E-3</v>
      </c>
      <c r="D6" s="7">
        <f t="shared" si="0"/>
        <v>2.3940000000000001</v>
      </c>
      <c r="E6" t="s">
        <v>24</v>
      </c>
    </row>
    <row r="7" spans="1:9" x14ac:dyDescent="0.25">
      <c r="A7">
        <v>10367225</v>
      </c>
      <c r="B7" s="7">
        <v>478.8</v>
      </c>
      <c r="C7" s="2">
        <v>5.0000000000000001E-3</v>
      </c>
      <c r="D7" s="7">
        <f t="shared" si="0"/>
        <v>2.3940000000000001</v>
      </c>
      <c r="E7" t="s">
        <v>25</v>
      </c>
    </row>
    <row r="8" spans="1:9" x14ac:dyDescent="0.25">
      <c r="A8">
        <v>10363147</v>
      </c>
      <c r="B8" s="7">
        <v>16.850000000000001</v>
      </c>
      <c r="C8" s="2">
        <v>5.0000000000000001E-3</v>
      </c>
      <c r="D8" s="7">
        <f t="shared" si="0"/>
        <v>8.4250000000000005E-2</v>
      </c>
      <c r="E8" t="s">
        <v>26</v>
      </c>
    </row>
    <row r="9" spans="1:9" x14ac:dyDescent="0.25">
      <c r="A9">
        <v>10363126</v>
      </c>
      <c r="B9" s="7">
        <v>19.899999999999999</v>
      </c>
      <c r="C9" s="2">
        <v>5.0000000000000001E-3</v>
      </c>
      <c r="D9" s="7">
        <f t="shared" si="0"/>
        <v>9.9499999999999991E-2</v>
      </c>
      <c r="E9" t="s">
        <v>22</v>
      </c>
    </row>
    <row r="10" spans="1:9" x14ac:dyDescent="0.25">
      <c r="A10">
        <v>10363104</v>
      </c>
      <c r="B10" s="7">
        <v>65.36</v>
      </c>
      <c r="C10" s="2">
        <v>5.0000000000000001E-3</v>
      </c>
      <c r="D10" s="7">
        <f t="shared" si="0"/>
        <v>0.32679999999999998</v>
      </c>
      <c r="E10" t="s">
        <v>17</v>
      </c>
    </row>
    <row r="11" spans="1:9" x14ac:dyDescent="0.25">
      <c r="A11">
        <v>10363090</v>
      </c>
      <c r="B11" s="7">
        <v>13.2</v>
      </c>
      <c r="C11" s="2">
        <v>5.0000000000000001E-3</v>
      </c>
      <c r="D11" s="7">
        <f t="shared" si="0"/>
        <v>6.6000000000000003E-2</v>
      </c>
      <c r="E11" t="s">
        <v>19</v>
      </c>
    </row>
    <row r="12" spans="1:9" x14ac:dyDescent="0.25">
      <c r="A12">
        <v>10363088</v>
      </c>
      <c r="B12" s="7">
        <v>13.2</v>
      </c>
      <c r="C12" s="2">
        <v>5.0000000000000001E-3</v>
      </c>
      <c r="D12" s="7">
        <f t="shared" si="0"/>
        <v>6.6000000000000003E-2</v>
      </c>
      <c r="E12" t="s">
        <v>6</v>
      </c>
    </row>
    <row r="13" spans="1:9" x14ac:dyDescent="0.25">
      <c r="A13">
        <v>10363086</v>
      </c>
      <c r="B13" s="7">
        <v>115.16</v>
      </c>
      <c r="C13" s="2">
        <v>5.0000000000000001E-3</v>
      </c>
      <c r="D13" s="1">
        <f t="shared" si="0"/>
        <v>0.57579999999999998</v>
      </c>
      <c r="E13" t="s">
        <v>14</v>
      </c>
    </row>
    <row r="14" spans="1:9" x14ac:dyDescent="0.25">
      <c r="B14" s="1">
        <f>SUM(B3:B13)</f>
        <v>2245.3699999999994</v>
      </c>
      <c r="D14" s="1">
        <f>SUM(D3:D13)</f>
        <v>11.226850000000004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8463C-6FCF-45E7-860E-6523134B3435}">
  <dimension ref="A1:I14"/>
  <sheetViews>
    <sheetView workbookViewId="0">
      <selection activeCell="F1" sqref="F1:I3"/>
    </sheetView>
  </sheetViews>
  <sheetFormatPr defaultRowHeight="15" x14ac:dyDescent="0.25"/>
  <cols>
    <col min="1" max="1" width="11.85546875" style="3" customWidth="1"/>
    <col min="2" max="2" width="9.140625" style="1"/>
    <col min="4" max="4" width="9.140625" style="1"/>
    <col min="6" max="6" width="35.85546875" bestFit="1" customWidth="1"/>
  </cols>
  <sheetData>
    <row r="1" spans="1:9" x14ac:dyDescent="0.25">
      <c r="F1" t="s">
        <v>10</v>
      </c>
      <c r="H1" t="s">
        <v>11</v>
      </c>
      <c r="I1">
        <v>7022</v>
      </c>
    </row>
    <row r="2" spans="1:9" x14ac:dyDescent="0.25">
      <c r="A2" s="3" t="s">
        <v>0</v>
      </c>
      <c r="B2" s="1" t="s">
        <v>1</v>
      </c>
      <c r="E2" t="s">
        <v>2</v>
      </c>
    </row>
    <row r="3" spans="1:9" x14ac:dyDescent="0.25">
      <c r="A3" s="3">
        <v>10399160</v>
      </c>
      <c r="B3" s="4">
        <v>239.4</v>
      </c>
      <c r="C3" s="2">
        <v>5.0000000000000001E-3</v>
      </c>
      <c r="D3" s="4">
        <f>B3*C3</f>
        <v>1.1970000000000001</v>
      </c>
      <c r="E3" t="s">
        <v>27</v>
      </c>
      <c r="F3" t="s">
        <v>12</v>
      </c>
      <c r="H3" t="s">
        <v>11</v>
      </c>
      <c r="I3">
        <v>7564</v>
      </c>
    </row>
    <row r="4" spans="1:9" x14ac:dyDescent="0.25">
      <c r="A4" s="3">
        <v>10398858</v>
      </c>
      <c r="B4" s="4">
        <v>315.41000000000003</v>
      </c>
      <c r="C4" s="2">
        <v>5.0000000000000001E-3</v>
      </c>
      <c r="D4" s="4">
        <f t="shared" ref="D4:D10" si="0">B4*C4</f>
        <v>1.5770500000000001</v>
      </c>
      <c r="E4" t="s">
        <v>20</v>
      </c>
    </row>
    <row r="5" spans="1:9" x14ac:dyDescent="0.25">
      <c r="A5" s="3">
        <v>10392311</v>
      </c>
      <c r="B5" s="4">
        <v>65.36</v>
      </c>
      <c r="C5" s="2">
        <v>5.0000000000000001E-3</v>
      </c>
      <c r="D5" s="4">
        <f t="shared" si="0"/>
        <v>0.32679999999999998</v>
      </c>
      <c r="E5" t="s">
        <v>17</v>
      </c>
    </row>
    <row r="6" spans="1:9" x14ac:dyDescent="0.25">
      <c r="A6" s="3">
        <v>10392307</v>
      </c>
      <c r="B6" s="4">
        <v>156.84</v>
      </c>
      <c r="C6" s="2">
        <v>5.0000000000000001E-3</v>
      </c>
      <c r="D6" s="4">
        <f t="shared" si="0"/>
        <v>0.78420000000000001</v>
      </c>
      <c r="E6" t="s">
        <v>5</v>
      </c>
    </row>
    <row r="7" spans="1:9" x14ac:dyDescent="0.25">
      <c r="A7" s="3">
        <v>10392303</v>
      </c>
      <c r="B7" s="4">
        <v>33.72</v>
      </c>
      <c r="C7" s="2">
        <v>5.0000000000000001E-3</v>
      </c>
      <c r="D7" s="4">
        <f t="shared" si="0"/>
        <v>0.1686</v>
      </c>
      <c r="E7" t="s">
        <v>14</v>
      </c>
    </row>
    <row r="8" spans="1:9" x14ac:dyDescent="0.25">
      <c r="A8" s="3">
        <v>10392301</v>
      </c>
      <c r="B8" s="4">
        <v>6.6</v>
      </c>
      <c r="C8" s="2">
        <v>5.0000000000000001E-3</v>
      </c>
      <c r="D8" s="4">
        <f t="shared" si="0"/>
        <v>3.3000000000000002E-2</v>
      </c>
      <c r="E8" t="s">
        <v>22</v>
      </c>
    </row>
    <row r="9" spans="1:9" x14ac:dyDescent="0.25">
      <c r="A9" s="3">
        <v>10392299</v>
      </c>
      <c r="B9" s="4">
        <v>13.2</v>
      </c>
      <c r="C9" s="2">
        <v>5.0000000000000001E-3</v>
      </c>
      <c r="D9" s="4">
        <f t="shared" si="0"/>
        <v>6.6000000000000003E-2</v>
      </c>
      <c r="E9" t="s">
        <v>15</v>
      </c>
    </row>
    <row r="10" spans="1:9" x14ac:dyDescent="0.25">
      <c r="A10" s="3">
        <v>10392297</v>
      </c>
      <c r="B10" s="4">
        <v>13.2</v>
      </c>
      <c r="C10" s="2">
        <v>5.0000000000000001E-3</v>
      </c>
      <c r="D10" s="4">
        <f t="shared" si="0"/>
        <v>6.6000000000000003E-2</v>
      </c>
      <c r="E10" t="s">
        <v>7</v>
      </c>
    </row>
    <row r="11" spans="1:9" x14ac:dyDescent="0.25">
      <c r="B11" s="1">
        <f>SUM(B3:B10)</f>
        <v>843.73000000000025</v>
      </c>
      <c r="D11" s="1">
        <f>SUM(D3:D10)</f>
        <v>4.2186499999999993</v>
      </c>
    </row>
    <row r="13" spans="1:9" x14ac:dyDescent="0.25">
      <c r="A13" s="3">
        <v>10390403</v>
      </c>
      <c r="B13" s="10">
        <v>387.91</v>
      </c>
      <c r="C13" s="2">
        <v>5.0000000000000001E-3</v>
      </c>
      <c r="D13" s="4">
        <f>B13*C13</f>
        <v>1.9395500000000001</v>
      </c>
      <c r="E13" t="s">
        <v>28</v>
      </c>
      <c r="F13" s="8">
        <v>46277.726215277777</v>
      </c>
      <c r="G13" s="8">
        <v>46290</v>
      </c>
      <c r="H13" s="8">
        <v>46277.719444444447</v>
      </c>
    </row>
    <row r="14" spans="1:9" x14ac:dyDescent="0.25">
      <c r="A14" s="3">
        <v>10389245</v>
      </c>
      <c r="B14" s="10">
        <v>350.19</v>
      </c>
      <c r="C14" s="2">
        <v>5.0000000000000001E-3</v>
      </c>
      <c r="D14" s="9">
        <f>B14*C14</f>
        <v>1.75095</v>
      </c>
      <c r="E14" t="s">
        <v>4</v>
      </c>
      <c r="F14" s="8">
        <v>46277.526539351849</v>
      </c>
      <c r="G14" s="8">
        <v>46290.019606481481</v>
      </c>
      <c r="H14" s="8">
        <v>46277.519444444442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071E9-B6FC-4A02-B82F-5C5124FE4C81}">
  <dimension ref="A1:J13"/>
  <sheetViews>
    <sheetView workbookViewId="0">
      <selection activeCell="G1" sqref="G1:J3"/>
    </sheetView>
  </sheetViews>
  <sheetFormatPr defaultRowHeight="15" x14ac:dyDescent="0.25"/>
  <cols>
    <col min="2" max="2" width="9.5703125" style="1" bestFit="1" customWidth="1"/>
    <col min="7" max="7" width="35.85546875" bestFit="1" customWidth="1"/>
  </cols>
  <sheetData>
    <row r="1" spans="1:10" x14ac:dyDescent="0.25">
      <c r="G1" t="s">
        <v>10</v>
      </c>
      <c r="I1" t="s">
        <v>11</v>
      </c>
      <c r="J1">
        <v>7022</v>
      </c>
    </row>
    <row r="2" spans="1:10" x14ac:dyDescent="0.25">
      <c r="A2" t="s">
        <v>0</v>
      </c>
      <c r="B2" s="1" t="s">
        <v>1</v>
      </c>
      <c r="E2" t="s">
        <v>2</v>
      </c>
    </row>
    <row r="3" spans="1:10" x14ac:dyDescent="0.25">
      <c r="A3">
        <v>10411260</v>
      </c>
      <c r="B3" s="4">
        <v>478.66</v>
      </c>
      <c r="C3" s="2">
        <v>5.0000000000000001E-3</v>
      </c>
      <c r="D3" s="6">
        <f>B3*C3</f>
        <v>2.3933</v>
      </c>
      <c r="E3" t="s">
        <v>20</v>
      </c>
      <c r="G3" t="s">
        <v>12</v>
      </c>
      <c r="I3" t="s">
        <v>11</v>
      </c>
      <c r="J3">
        <v>7564</v>
      </c>
    </row>
    <row r="4" spans="1:10" x14ac:dyDescent="0.25">
      <c r="A4">
        <v>10411046</v>
      </c>
      <c r="B4" s="4">
        <v>387.91</v>
      </c>
      <c r="C4" s="2">
        <v>5.0000000000000001E-3</v>
      </c>
      <c r="D4" s="6">
        <f t="shared" ref="D4:D12" si="0">B4*C4</f>
        <v>1.9395500000000001</v>
      </c>
      <c r="E4" t="s">
        <v>4</v>
      </c>
    </row>
    <row r="5" spans="1:10" x14ac:dyDescent="0.25">
      <c r="A5">
        <v>10408332</v>
      </c>
      <c r="B5" s="4">
        <v>168.18</v>
      </c>
      <c r="C5" s="2">
        <v>5.0000000000000001E-3</v>
      </c>
      <c r="D5" s="6">
        <f t="shared" si="0"/>
        <v>0.84090000000000009</v>
      </c>
      <c r="E5" t="s">
        <v>29</v>
      </c>
    </row>
    <row r="6" spans="1:10" x14ac:dyDescent="0.25">
      <c r="A6">
        <v>10404211</v>
      </c>
      <c r="B6" s="4">
        <v>20.95</v>
      </c>
      <c r="C6" s="2">
        <v>5.0000000000000001E-3</v>
      </c>
      <c r="D6" s="6">
        <f t="shared" si="0"/>
        <v>0.10475</v>
      </c>
      <c r="E6" t="s">
        <v>17</v>
      </c>
    </row>
    <row r="7" spans="1:10" x14ac:dyDescent="0.25">
      <c r="A7">
        <v>10403439</v>
      </c>
      <c r="B7" s="4">
        <v>13.2</v>
      </c>
      <c r="C7" s="2">
        <v>5.0000000000000001E-3</v>
      </c>
      <c r="D7" s="6">
        <f t="shared" si="0"/>
        <v>6.6000000000000003E-2</v>
      </c>
      <c r="E7" t="s">
        <v>30</v>
      </c>
    </row>
    <row r="8" spans="1:10" x14ac:dyDescent="0.25">
      <c r="A8">
        <v>10403434</v>
      </c>
      <c r="B8" s="4">
        <v>79.8</v>
      </c>
      <c r="C8" s="2">
        <v>5.0000000000000001E-3</v>
      </c>
      <c r="D8" s="6">
        <f t="shared" si="0"/>
        <v>0.39900000000000002</v>
      </c>
      <c r="E8" t="s">
        <v>7</v>
      </c>
    </row>
    <row r="9" spans="1:10" x14ac:dyDescent="0.25">
      <c r="A9">
        <v>10403426</v>
      </c>
      <c r="B9" s="4">
        <v>13.2</v>
      </c>
      <c r="C9" s="2">
        <v>5.0000000000000001E-3</v>
      </c>
      <c r="D9" s="6">
        <f t="shared" si="0"/>
        <v>6.6000000000000003E-2</v>
      </c>
      <c r="E9" t="s">
        <v>14</v>
      </c>
    </row>
    <row r="10" spans="1:10" x14ac:dyDescent="0.25">
      <c r="A10">
        <v>10403425</v>
      </c>
      <c r="B10" s="4">
        <v>13.2</v>
      </c>
      <c r="C10" s="2">
        <v>5.0000000000000001E-3</v>
      </c>
      <c r="D10" s="6">
        <f t="shared" si="0"/>
        <v>6.6000000000000003E-2</v>
      </c>
      <c r="E10" t="s">
        <v>19</v>
      </c>
    </row>
    <row r="11" spans="1:10" x14ac:dyDescent="0.25">
      <c r="A11">
        <v>10403421</v>
      </c>
      <c r="B11" s="4">
        <v>156.12</v>
      </c>
      <c r="C11" s="2">
        <v>5.0000000000000001E-3</v>
      </c>
      <c r="D11" s="6">
        <f t="shared" si="0"/>
        <v>0.78060000000000007</v>
      </c>
      <c r="E11" t="s">
        <v>21</v>
      </c>
    </row>
    <row r="12" spans="1:10" x14ac:dyDescent="0.25">
      <c r="A12">
        <v>10403399</v>
      </c>
      <c r="B12" s="4">
        <v>203.91</v>
      </c>
      <c r="C12" s="2">
        <v>5.0000000000000001E-3</v>
      </c>
      <c r="D12" s="5">
        <f t="shared" si="0"/>
        <v>1.01955</v>
      </c>
      <c r="E12" t="s">
        <v>31</v>
      </c>
    </row>
    <row r="13" spans="1:10" x14ac:dyDescent="0.25">
      <c r="B13" s="1">
        <f>SUM(B3:B12)</f>
        <v>1535.1300000000003</v>
      </c>
      <c r="D13" s="5">
        <f>SUM(D3:D12)</f>
        <v>7.6756500000000001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EE138-EC5B-4FC3-88D2-FE68D4DE299D}">
  <dimension ref="A1:J18"/>
  <sheetViews>
    <sheetView workbookViewId="0">
      <selection activeCell="G1" sqref="G1:J3"/>
    </sheetView>
  </sheetViews>
  <sheetFormatPr defaultRowHeight="15" x14ac:dyDescent="0.25"/>
  <cols>
    <col min="1" max="1" width="11" bestFit="1" customWidth="1"/>
    <col min="2" max="2" width="9.5703125" style="1" bestFit="1" customWidth="1"/>
    <col min="4" max="4" width="9.140625" style="1"/>
    <col min="7" max="7" width="35.85546875" bestFit="1" customWidth="1"/>
  </cols>
  <sheetData>
    <row r="1" spans="1:10" x14ac:dyDescent="0.25">
      <c r="G1" t="s">
        <v>10</v>
      </c>
      <c r="I1" t="s">
        <v>11</v>
      </c>
      <c r="J1">
        <v>7022</v>
      </c>
    </row>
    <row r="3" spans="1:10" x14ac:dyDescent="0.25">
      <c r="A3" s="3" t="s">
        <v>0</v>
      </c>
      <c r="B3" s="11" t="s">
        <v>1</v>
      </c>
      <c r="C3" s="3"/>
      <c r="D3" s="11"/>
      <c r="E3" s="3" t="s">
        <v>2</v>
      </c>
      <c r="G3" t="s">
        <v>12</v>
      </c>
      <c r="I3" t="s">
        <v>11</v>
      </c>
      <c r="J3">
        <v>7564</v>
      </c>
    </row>
    <row r="4" spans="1:10" x14ac:dyDescent="0.25">
      <c r="A4">
        <v>10422581</v>
      </c>
      <c r="B4" s="4">
        <v>373.92</v>
      </c>
      <c r="C4" s="2">
        <v>5.0000000000000001E-3</v>
      </c>
      <c r="D4" s="4">
        <f>B4*C4</f>
        <v>1.8696000000000002</v>
      </c>
      <c r="E4" t="s">
        <v>32</v>
      </c>
    </row>
    <row r="5" spans="1:10" x14ac:dyDescent="0.25">
      <c r="A5">
        <v>10422482</v>
      </c>
      <c r="B5" s="4">
        <v>315.41000000000003</v>
      </c>
      <c r="C5" s="2">
        <v>5.0000000000000001E-3</v>
      </c>
      <c r="D5" s="4">
        <f t="shared" ref="D5:D16" si="0">B5*C5</f>
        <v>1.5770500000000001</v>
      </c>
      <c r="E5" t="s">
        <v>3</v>
      </c>
    </row>
    <row r="6" spans="1:10" x14ac:dyDescent="0.25">
      <c r="A6">
        <v>10422405</v>
      </c>
      <c r="B6" s="4">
        <v>315.41000000000003</v>
      </c>
      <c r="C6" s="2">
        <v>5.0000000000000001E-3</v>
      </c>
      <c r="D6" s="4">
        <f t="shared" si="0"/>
        <v>1.5770500000000001</v>
      </c>
      <c r="E6" t="s">
        <v>33</v>
      </c>
    </row>
    <row r="7" spans="1:10" x14ac:dyDescent="0.25">
      <c r="A7">
        <v>10421279</v>
      </c>
      <c r="B7" s="4">
        <v>239.4</v>
      </c>
      <c r="C7" s="2">
        <v>5.0000000000000001E-3</v>
      </c>
      <c r="D7" s="4">
        <f t="shared" si="0"/>
        <v>1.1970000000000001</v>
      </c>
      <c r="E7" t="s">
        <v>27</v>
      </c>
    </row>
    <row r="8" spans="1:10" x14ac:dyDescent="0.25">
      <c r="A8">
        <v>10414000</v>
      </c>
      <c r="B8" s="4">
        <v>156.12</v>
      </c>
      <c r="C8" s="2">
        <v>5.0000000000000001E-3</v>
      </c>
      <c r="D8" s="4">
        <f t="shared" si="0"/>
        <v>0.78060000000000007</v>
      </c>
      <c r="E8" t="s">
        <v>34</v>
      </c>
    </row>
    <row r="9" spans="1:10" x14ac:dyDescent="0.25">
      <c r="A9">
        <v>10413997</v>
      </c>
      <c r="B9" s="4">
        <v>156.84</v>
      </c>
      <c r="C9" s="2">
        <v>5.0000000000000001E-3</v>
      </c>
      <c r="D9" s="4">
        <f t="shared" si="0"/>
        <v>0.78420000000000001</v>
      </c>
      <c r="E9" t="s">
        <v>5</v>
      </c>
    </row>
    <row r="10" spans="1:10" x14ac:dyDescent="0.25">
      <c r="A10">
        <v>10413994</v>
      </c>
      <c r="B10" s="4">
        <v>173.7</v>
      </c>
      <c r="C10" s="2">
        <v>5.0000000000000001E-3</v>
      </c>
      <c r="D10" s="4">
        <f t="shared" si="0"/>
        <v>0.86849999999999994</v>
      </c>
      <c r="E10" t="s">
        <v>35</v>
      </c>
    </row>
    <row r="11" spans="1:10" x14ac:dyDescent="0.25">
      <c r="A11">
        <v>10413990</v>
      </c>
      <c r="B11" s="4">
        <v>13.2</v>
      </c>
      <c r="C11" s="2">
        <v>5.0000000000000001E-3</v>
      </c>
      <c r="D11" s="4">
        <f t="shared" si="0"/>
        <v>6.6000000000000003E-2</v>
      </c>
      <c r="E11" t="s">
        <v>7</v>
      </c>
    </row>
    <row r="12" spans="1:10" x14ac:dyDescent="0.25">
      <c r="A12">
        <v>10413965</v>
      </c>
      <c r="B12" s="4">
        <v>6.6</v>
      </c>
      <c r="C12" s="2">
        <v>5.0000000000000001E-3</v>
      </c>
      <c r="D12" s="4">
        <f t="shared" si="0"/>
        <v>3.3000000000000002E-2</v>
      </c>
      <c r="E12" t="s">
        <v>22</v>
      </c>
    </row>
    <row r="13" spans="1:10" x14ac:dyDescent="0.25">
      <c r="A13">
        <v>10413957</v>
      </c>
      <c r="B13" s="4">
        <v>6.6</v>
      </c>
      <c r="C13" s="2">
        <v>5.0000000000000001E-3</v>
      </c>
      <c r="D13" s="4">
        <f t="shared" si="0"/>
        <v>3.3000000000000002E-2</v>
      </c>
      <c r="E13" t="s">
        <v>16</v>
      </c>
    </row>
    <row r="14" spans="1:10" x14ac:dyDescent="0.25">
      <c r="A14">
        <v>10413951</v>
      </c>
      <c r="B14" s="4">
        <v>6.6</v>
      </c>
      <c r="C14" s="2">
        <v>5.0000000000000001E-3</v>
      </c>
      <c r="D14" s="4">
        <f t="shared" si="0"/>
        <v>3.3000000000000002E-2</v>
      </c>
      <c r="E14" t="s">
        <v>8</v>
      </c>
    </row>
    <row r="15" spans="1:10" x14ac:dyDescent="0.25">
      <c r="A15">
        <v>10413935</v>
      </c>
      <c r="B15" s="4">
        <v>57.85</v>
      </c>
      <c r="C15" s="2">
        <v>5.0000000000000001E-3</v>
      </c>
      <c r="D15" s="4">
        <f t="shared" si="0"/>
        <v>0.28925000000000001</v>
      </c>
      <c r="E15" t="s">
        <v>9</v>
      </c>
    </row>
    <row r="16" spans="1:10" x14ac:dyDescent="0.25">
      <c r="A16">
        <v>10413909</v>
      </c>
      <c r="B16" s="4">
        <v>76.760000000000005</v>
      </c>
      <c r="C16" s="2">
        <v>5.0000000000000001E-3</v>
      </c>
      <c r="D16" s="4">
        <f t="shared" si="0"/>
        <v>0.38380000000000003</v>
      </c>
      <c r="E16" t="s">
        <v>30</v>
      </c>
    </row>
    <row r="17" spans="2:4" x14ac:dyDescent="0.25">
      <c r="B17" s="1">
        <f>SUM(B4:B16)</f>
        <v>1898.4099999999999</v>
      </c>
      <c r="D17" s="1">
        <f>SUM(D4:D16)</f>
        <v>9.492049999999999</v>
      </c>
    </row>
    <row r="18" spans="2:4" x14ac:dyDescent="0.25">
      <c r="B18" s="1">
        <v>-1724.71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9445F-45B6-4CB1-8BE9-F9AFEB07215E}">
  <dimension ref="A1:K9"/>
  <sheetViews>
    <sheetView workbookViewId="0">
      <selection activeCell="K3" sqref="K3"/>
    </sheetView>
  </sheetViews>
  <sheetFormatPr defaultRowHeight="15" x14ac:dyDescent="0.25"/>
  <cols>
    <col min="2" max="2" width="9.140625" style="1"/>
    <col min="8" max="8" width="35.85546875" bestFit="1" customWidth="1"/>
  </cols>
  <sheetData>
    <row r="1" spans="1:11" x14ac:dyDescent="0.25">
      <c r="H1" t="s">
        <v>10</v>
      </c>
      <c r="J1" t="s">
        <v>11</v>
      </c>
      <c r="K1">
        <v>7022</v>
      </c>
    </row>
    <row r="3" spans="1:11" x14ac:dyDescent="0.25">
      <c r="A3" t="s">
        <v>36</v>
      </c>
      <c r="B3" s="1" t="s">
        <v>1</v>
      </c>
      <c r="E3" t="s">
        <v>2</v>
      </c>
      <c r="H3" t="s">
        <v>12</v>
      </c>
      <c r="J3" t="s">
        <v>11</v>
      </c>
      <c r="K3">
        <v>7564</v>
      </c>
    </row>
    <row r="4" spans="1:11" x14ac:dyDescent="0.25">
      <c r="A4">
        <v>10426238</v>
      </c>
      <c r="B4" s="4">
        <v>65.36</v>
      </c>
      <c r="C4" s="2">
        <v>5.0000000000000001E-3</v>
      </c>
      <c r="D4" s="6">
        <f>B4*C4</f>
        <v>0.32679999999999998</v>
      </c>
      <c r="E4" t="s">
        <v>17</v>
      </c>
    </row>
    <row r="5" spans="1:11" x14ac:dyDescent="0.25">
      <c r="A5">
        <v>10426197</v>
      </c>
      <c r="B5" s="4">
        <v>13.2</v>
      </c>
      <c r="C5" s="2">
        <v>5.0000000000000001E-3</v>
      </c>
      <c r="D5" s="6">
        <f t="shared" ref="D5:D8" si="0">B5*C5</f>
        <v>6.6000000000000003E-2</v>
      </c>
      <c r="E5" t="s">
        <v>6</v>
      </c>
    </row>
    <row r="6" spans="1:11" x14ac:dyDescent="0.25">
      <c r="A6">
        <v>10426192</v>
      </c>
      <c r="B6" s="4">
        <v>65.36</v>
      </c>
      <c r="C6" s="2">
        <v>5.0000000000000001E-3</v>
      </c>
      <c r="D6" s="6">
        <f t="shared" si="0"/>
        <v>0.32679999999999998</v>
      </c>
      <c r="E6" t="s">
        <v>7</v>
      </c>
    </row>
    <row r="7" spans="1:11" x14ac:dyDescent="0.25">
      <c r="A7">
        <v>10426189</v>
      </c>
      <c r="B7" s="4">
        <v>30.8</v>
      </c>
      <c r="C7" s="2">
        <v>5.0000000000000001E-3</v>
      </c>
      <c r="D7" s="6">
        <f t="shared" si="0"/>
        <v>0.154</v>
      </c>
      <c r="E7" t="s">
        <v>16</v>
      </c>
    </row>
    <row r="8" spans="1:11" x14ac:dyDescent="0.25">
      <c r="A8">
        <v>10426184</v>
      </c>
      <c r="B8" s="4">
        <v>13.2</v>
      </c>
      <c r="C8" s="2">
        <v>5.0000000000000001E-3</v>
      </c>
      <c r="D8" s="5">
        <f t="shared" si="0"/>
        <v>6.6000000000000003E-2</v>
      </c>
      <c r="E8" t="s">
        <v>37</v>
      </c>
    </row>
    <row r="9" spans="1:11" x14ac:dyDescent="0.25">
      <c r="B9" s="1">
        <f>SUM(B4:B8)</f>
        <v>187.92000000000002</v>
      </c>
      <c r="D9" s="5">
        <f>SUM(D4:D8)</f>
        <v>0.93959999999999999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1E24D-A05F-4397-A29E-97F4283DE96B}">
  <dimension ref="A1:T11"/>
  <sheetViews>
    <sheetView tabSelected="1" workbookViewId="0">
      <selection activeCell="B1" sqref="B1:B1048576"/>
    </sheetView>
  </sheetViews>
  <sheetFormatPr defaultRowHeight="15" x14ac:dyDescent="0.25"/>
  <cols>
    <col min="1" max="1" width="8.42578125" bestFit="1" customWidth="1"/>
    <col min="2" max="2" width="11.140625" bestFit="1" customWidth="1"/>
    <col min="3" max="3" width="7.140625" bestFit="1" customWidth="1"/>
    <col min="4" max="4" width="5.5703125" bestFit="1" customWidth="1"/>
    <col min="5" max="5" width="11" bestFit="1" customWidth="1"/>
    <col min="6" max="6" width="7.85546875" bestFit="1" customWidth="1"/>
    <col min="7" max="7" width="7.140625" style="1" bestFit="1" customWidth="1"/>
    <col min="8" max="8" width="15.5703125" style="1" bestFit="1" customWidth="1"/>
    <col min="9" max="9" width="15.140625" style="1" bestFit="1" customWidth="1"/>
    <col min="10" max="10" width="19" style="1" bestFit="1" customWidth="1"/>
    <col min="11" max="11" width="18.42578125" style="1" bestFit="1" customWidth="1"/>
    <col min="12" max="12" width="12.28515625" style="1" bestFit="1" customWidth="1"/>
    <col min="13" max="13" width="14.85546875" style="1" bestFit="1" customWidth="1"/>
    <col min="14" max="14" width="36.28515625" style="1" bestFit="1" customWidth="1"/>
    <col min="15" max="18" width="23.140625" customWidth="1"/>
    <col min="19" max="19" width="12.7109375" bestFit="1" customWidth="1"/>
    <col min="20" max="20" width="8.85546875" bestFit="1" customWidth="1"/>
    <col min="21" max="21" width="10.28515625" customWidth="1"/>
    <col min="22" max="22" width="13.7109375" customWidth="1"/>
  </cols>
  <sheetData>
    <row r="1" spans="1:20" x14ac:dyDescent="0.25">
      <c r="A1" t="s">
        <v>40</v>
      </c>
      <c r="B1" t="s">
        <v>39</v>
      </c>
      <c r="C1" t="s">
        <v>38</v>
      </c>
      <c r="D1" t="s">
        <v>47</v>
      </c>
      <c r="E1" t="s">
        <v>36</v>
      </c>
      <c r="F1" t="s">
        <v>48</v>
      </c>
      <c r="G1" s="1" t="s">
        <v>1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49</v>
      </c>
      <c r="N1" t="s">
        <v>46</v>
      </c>
      <c r="S1" t="s">
        <v>45</v>
      </c>
      <c r="T1" t="s">
        <v>46</v>
      </c>
    </row>
    <row r="2" spans="1:20" x14ac:dyDescent="0.25">
      <c r="A2" t="s">
        <v>60</v>
      </c>
      <c r="B2">
        <v>14821124000142</v>
      </c>
      <c r="C2">
        <v>7022</v>
      </c>
      <c r="D2">
        <v>1</v>
      </c>
      <c r="E2">
        <v>10426238</v>
      </c>
      <c r="F2">
        <v>98</v>
      </c>
      <c r="G2" s="1">
        <v>65.36</v>
      </c>
      <c r="H2" s="12">
        <v>46282</v>
      </c>
      <c r="I2" s="12">
        <v>46283</v>
      </c>
      <c r="J2" s="12">
        <v>46282</v>
      </c>
      <c r="K2" s="12">
        <v>46282</v>
      </c>
      <c r="L2" s="13">
        <v>46266</v>
      </c>
      <c r="M2" s="1">
        <v>65.36</v>
      </c>
      <c r="N2" s="1" t="s">
        <v>50</v>
      </c>
      <c r="O2" s="8"/>
      <c r="P2" s="8"/>
      <c r="Q2" s="8"/>
      <c r="R2" s="8"/>
      <c r="S2" s="8"/>
      <c r="T2" s="8"/>
    </row>
    <row r="3" spans="1:20" x14ac:dyDescent="0.25">
      <c r="A3" t="s">
        <v>60</v>
      </c>
      <c r="B3">
        <v>14821124000142</v>
      </c>
      <c r="C3">
        <v>7022</v>
      </c>
      <c r="D3">
        <v>1</v>
      </c>
      <c r="E3">
        <v>10426197</v>
      </c>
      <c r="F3">
        <v>98</v>
      </c>
      <c r="G3" s="1">
        <v>13.2</v>
      </c>
      <c r="H3" s="12">
        <v>46282</v>
      </c>
      <c r="I3" s="12">
        <v>46283</v>
      </c>
      <c r="J3" s="12">
        <v>46282</v>
      </c>
      <c r="K3" s="12">
        <v>46282</v>
      </c>
      <c r="L3" s="13">
        <v>46266</v>
      </c>
      <c r="M3" s="1">
        <v>13.2</v>
      </c>
      <c r="N3" s="1" t="s">
        <v>51</v>
      </c>
      <c r="O3" s="8"/>
      <c r="P3" s="8"/>
      <c r="Q3" s="8"/>
      <c r="R3" s="8"/>
      <c r="S3" s="8"/>
      <c r="T3" s="8"/>
    </row>
    <row r="4" spans="1:20" x14ac:dyDescent="0.25">
      <c r="A4" t="s">
        <v>60</v>
      </c>
      <c r="B4">
        <v>14821124000142</v>
      </c>
      <c r="C4">
        <v>7022</v>
      </c>
      <c r="D4">
        <v>1</v>
      </c>
      <c r="E4">
        <v>10426192</v>
      </c>
      <c r="F4">
        <v>98</v>
      </c>
      <c r="G4" s="1">
        <v>65.36</v>
      </c>
      <c r="H4" s="12">
        <v>46282</v>
      </c>
      <c r="I4" s="12">
        <v>46283</v>
      </c>
      <c r="J4" s="12">
        <v>46282</v>
      </c>
      <c r="K4" s="12">
        <v>46282</v>
      </c>
      <c r="L4" s="13">
        <v>46266</v>
      </c>
      <c r="M4" s="1">
        <v>65.36</v>
      </c>
      <c r="N4" s="1" t="s">
        <v>52</v>
      </c>
      <c r="O4" s="8"/>
      <c r="P4" s="8"/>
      <c r="Q4" s="8"/>
      <c r="R4" s="8"/>
      <c r="S4" s="8"/>
      <c r="T4" s="8"/>
    </row>
    <row r="5" spans="1:20" x14ac:dyDescent="0.25">
      <c r="A5" t="s">
        <v>60</v>
      </c>
      <c r="B5">
        <v>14821124000142</v>
      </c>
      <c r="C5">
        <v>7022</v>
      </c>
      <c r="D5">
        <v>1</v>
      </c>
      <c r="E5">
        <v>10426189</v>
      </c>
      <c r="F5">
        <v>98</v>
      </c>
      <c r="G5" s="1">
        <v>30.8</v>
      </c>
      <c r="H5" s="12">
        <v>46282</v>
      </c>
      <c r="I5" s="12">
        <v>46283</v>
      </c>
      <c r="J5" s="12">
        <v>46282</v>
      </c>
      <c r="K5" s="12">
        <v>46282</v>
      </c>
      <c r="L5" s="13">
        <v>46266</v>
      </c>
      <c r="M5" s="1">
        <v>30.8</v>
      </c>
      <c r="N5" s="1" t="s">
        <v>53</v>
      </c>
      <c r="O5" s="8"/>
      <c r="P5" s="8"/>
      <c r="Q5" s="8"/>
      <c r="R5" s="8"/>
      <c r="S5" s="8"/>
      <c r="T5" s="8"/>
    </row>
    <row r="6" spans="1:20" x14ac:dyDescent="0.25">
      <c r="A6" t="s">
        <v>60</v>
      </c>
      <c r="B6">
        <v>14821124000142</v>
      </c>
      <c r="C6">
        <v>7022</v>
      </c>
      <c r="D6">
        <v>1</v>
      </c>
      <c r="E6">
        <v>10426184</v>
      </c>
      <c r="F6">
        <v>98</v>
      </c>
      <c r="G6" s="1">
        <v>13.2</v>
      </c>
      <c r="H6" s="12">
        <v>46282</v>
      </c>
      <c r="I6" s="12">
        <v>46283</v>
      </c>
      <c r="J6" s="12">
        <v>46282</v>
      </c>
      <c r="K6" s="12">
        <v>46282</v>
      </c>
      <c r="L6" s="13">
        <v>46266</v>
      </c>
      <c r="M6" s="1">
        <v>13.2</v>
      </c>
      <c r="N6" s="1" t="s">
        <v>54</v>
      </c>
      <c r="O6" s="8"/>
      <c r="P6" s="8"/>
      <c r="Q6" s="8"/>
      <c r="R6" s="8"/>
      <c r="S6" s="8"/>
      <c r="T6" s="8"/>
    </row>
    <row r="7" spans="1:20" x14ac:dyDescent="0.25">
      <c r="A7" t="s">
        <v>60</v>
      </c>
      <c r="B7">
        <v>14821124000142</v>
      </c>
      <c r="C7">
        <v>7564</v>
      </c>
      <c r="D7">
        <v>1</v>
      </c>
      <c r="E7">
        <v>2266661</v>
      </c>
      <c r="F7">
        <v>98</v>
      </c>
      <c r="G7" s="1">
        <f>G2*0.5%</f>
        <v>0.32679999999999998</v>
      </c>
      <c r="H7" s="12">
        <v>46282</v>
      </c>
      <c r="I7" s="12">
        <v>46283</v>
      </c>
      <c r="J7" s="12">
        <v>46282</v>
      </c>
      <c r="K7" s="12">
        <v>46282</v>
      </c>
      <c r="L7" s="13">
        <v>46266</v>
      </c>
      <c r="M7" s="1">
        <f>M2*0.5%</f>
        <v>0.32679999999999998</v>
      </c>
      <c r="N7" s="1" t="s">
        <v>55</v>
      </c>
    </row>
    <row r="8" spans="1:20" x14ac:dyDescent="0.25">
      <c r="A8" t="s">
        <v>60</v>
      </c>
      <c r="B8">
        <v>14821124000142</v>
      </c>
      <c r="C8">
        <v>7564</v>
      </c>
      <c r="D8">
        <v>1</v>
      </c>
      <c r="E8">
        <v>321101</v>
      </c>
      <c r="F8">
        <v>98</v>
      </c>
      <c r="G8" s="1">
        <f>G3*0.5%</f>
        <v>6.6000000000000003E-2</v>
      </c>
      <c r="H8" s="12">
        <v>46282</v>
      </c>
      <c r="I8" s="12">
        <v>46283</v>
      </c>
      <c r="J8" s="12">
        <v>46282</v>
      </c>
      <c r="K8" s="12">
        <v>46282</v>
      </c>
      <c r="L8" s="13">
        <v>46266</v>
      </c>
      <c r="M8" s="1">
        <f>M3*0.5%</f>
        <v>6.6000000000000003E-2</v>
      </c>
      <c r="N8" s="1" t="s">
        <v>56</v>
      </c>
    </row>
    <row r="9" spans="1:20" x14ac:dyDescent="0.25">
      <c r="A9" t="s">
        <v>60</v>
      </c>
      <c r="B9">
        <v>14821124000142</v>
      </c>
      <c r="C9">
        <v>7564</v>
      </c>
      <c r="D9">
        <v>1</v>
      </c>
      <c r="E9">
        <v>236158</v>
      </c>
      <c r="F9">
        <v>98</v>
      </c>
      <c r="G9" s="1">
        <f>G4*0.5%</f>
        <v>0.32679999999999998</v>
      </c>
      <c r="H9" s="12">
        <v>46282</v>
      </c>
      <c r="I9" s="12">
        <v>46283</v>
      </c>
      <c r="J9" s="12">
        <v>46282</v>
      </c>
      <c r="K9" s="12">
        <v>46282</v>
      </c>
      <c r="L9" s="13">
        <v>46266</v>
      </c>
      <c r="M9" s="1">
        <f>M4*0.5%</f>
        <v>0.32679999999999998</v>
      </c>
      <c r="N9" s="1" t="s">
        <v>57</v>
      </c>
    </row>
    <row r="10" spans="1:20" x14ac:dyDescent="0.25">
      <c r="A10" t="s">
        <v>60</v>
      </c>
      <c r="B10">
        <v>14821124000142</v>
      </c>
      <c r="C10">
        <v>7564</v>
      </c>
      <c r="D10">
        <v>1</v>
      </c>
      <c r="E10">
        <v>6651251</v>
      </c>
      <c r="F10">
        <v>98</v>
      </c>
      <c r="G10" s="1">
        <f>G5*0.5%</f>
        <v>0.154</v>
      </c>
      <c r="H10" s="12">
        <v>46282</v>
      </c>
      <c r="I10" s="12">
        <v>46283</v>
      </c>
      <c r="J10" s="12">
        <v>46282</v>
      </c>
      <c r="K10" s="12">
        <v>46282</v>
      </c>
      <c r="L10" s="13">
        <v>46266</v>
      </c>
      <c r="M10" s="1">
        <f>M5*0.5%</f>
        <v>0.154</v>
      </c>
      <c r="N10" s="1" t="s">
        <v>58</v>
      </c>
    </row>
    <row r="11" spans="1:20" x14ac:dyDescent="0.25">
      <c r="A11" t="s">
        <v>60</v>
      </c>
      <c r="B11">
        <v>14821124000142</v>
      </c>
      <c r="C11">
        <v>7564</v>
      </c>
      <c r="D11">
        <v>1</v>
      </c>
      <c r="E11">
        <v>261450</v>
      </c>
      <c r="F11">
        <v>98</v>
      </c>
      <c r="G11" s="1">
        <f>G6*0.5%</f>
        <v>6.6000000000000003E-2</v>
      </c>
      <c r="H11" s="12">
        <v>46282</v>
      </c>
      <c r="I11" s="12">
        <v>46283</v>
      </c>
      <c r="J11" s="12">
        <v>46282</v>
      </c>
      <c r="K11" s="12">
        <v>46282</v>
      </c>
      <c r="L11" s="13">
        <v>46266</v>
      </c>
      <c r="M11" s="1">
        <f>M6*0.5%</f>
        <v>6.6000000000000003E-2</v>
      </c>
      <c r="N11" s="1" t="s">
        <v>59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7D7BD-C318-4713-8BC8-B401E6922CB0}">
  <dimension ref="A1:U11"/>
  <sheetViews>
    <sheetView workbookViewId="0">
      <selection activeCell="B16" sqref="B16"/>
    </sheetView>
  </sheetViews>
  <sheetFormatPr defaultRowHeight="15" x14ac:dyDescent="0.25"/>
  <cols>
    <col min="1" max="1" width="8.42578125" bestFit="1" customWidth="1"/>
    <col min="2" max="2" width="7.140625" bestFit="1" customWidth="1"/>
    <col min="3" max="3" width="11.140625" bestFit="1" customWidth="1"/>
    <col min="4" max="4" width="5.5703125" bestFit="1" customWidth="1"/>
    <col min="5" max="5" width="11" bestFit="1" customWidth="1"/>
    <col min="6" max="6" width="7.85546875" bestFit="1" customWidth="1"/>
    <col min="7" max="7" width="7.140625" style="1" bestFit="1" customWidth="1"/>
    <col min="8" max="8" width="15.5703125" style="1" bestFit="1" customWidth="1"/>
    <col min="9" max="9" width="15.140625" style="1" bestFit="1" customWidth="1"/>
    <col min="10" max="10" width="19" style="1" bestFit="1" customWidth="1"/>
    <col min="11" max="11" width="18.42578125" style="1" bestFit="1" customWidth="1"/>
    <col min="12" max="12" width="12.28515625" style="1" bestFit="1" customWidth="1"/>
    <col min="13" max="13" width="14.85546875" style="1" bestFit="1" customWidth="1"/>
    <col min="14" max="14" width="36.28515625" style="1" bestFit="1" customWidth="1"/>
    <col min="15" max="15" width="8.5703125" bestFit="1" customWidth="1"/>
    <col min="16" max="19" width="23.140625" customWidth="1"/>
    <col min="20" max="20" width="12.7109375" bestFit="1" customWidth="1"/>
    <col min="21" max="21" width="8.85546875" bestFit="1" customWidth="1"/>
    <col min="22" max="22" width="10.28515625" customWidth="1"/>
    <col min="23" max="23" width="13.7109375" customWidth="1"/>
  </cols>
  <sheetData>
    <row r="1" spans="1:21" x14ac:dyDescent="0.25">
      <c r="A1" t="s">
        <v>40</v>
      </c>
      <c r="B1" t="s">
        <v>38</v>
      </c>
      <c r="C1" t="s">
        <v>39</v>
      </c>
      <c r="D1" t="s">
        <v>47</v>
      </c>
      <c r="E1" t="s">
        <v>36</v>
      </c>
      <c r="F1" t="s">
        <v>48</v>
      </c>
      <c r="G1" s="1" t="s">
        <v>1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49</v>
      </c>
      <c r="N1" t="s">
        <v>46</v>
      </c>
      <c r="O1" t="s">
        <v>2</v>
      </c>
      <c r="T1" t="s">
        <v>45</v>
      </c>
      <c r="U1" t="s">
        <v>46</v>
      </c>
    </row>
    <row r="2" spans="1:21" x14ac:dyDescent="0.25">
      <c r="A2" t="s">
        <v>60</v>
      </c>
      <c r="B2">
        <v>7022</v>
      </c>
      <c r="C2">
        <v>14821124000142</v>
      </c>
      <c r="D2">
        <v>1</v>
      </c>
      <c r="E2">
        <v>10426238</v>
      </c>
      <c r="F2">
        <v>98</v>
      </c>
      <c r="G2" s="1">
        <v>65.36</v>
      </c>
      <c r="H2" s="12">
        <v>46282</v>
      </c>
      <c r="I2" s="12">
        <v>46283</v>
      </c>
      <c r="J2" s="12">
        <v>46282</v>
      </c>
      <c r="K2" s="12">
        <v>46282</v>
      </c>
      <c r="L2" s="13">
        <v>46266</v>
      </c>
      <c r="M2" s="1">
        <v>65.36</v>
      </c>
      <c r="N2" s="1" t="s">
        <v>50</v>
      </c>
      <c r="O2" t="s">
        <v>17</v>
      </c>
      <c r="P2" s="8"/>
      <c r="Q2" s="8"/>
      <c r="R2" s="8"/>
      <c r="S2" s="8"/>
      <c r="T2" s="8"/>
      <c r="U2" s="8"/>
    </row>
    <row r="3" spans="1:21" x14ac:dyDescent="0.25">
      <c r="A3" t="s">
        <v>60</v>
      </c>
      <c r="B3">
        <v>7022</v>
      </c>
      <c r="C3">
        <v>14821124000142</v>
      </c>
      <c r="D3">
        <v>1</v>
      </c>
      <c r="E3">
        <v>10426197</v>
      </c>
      <c r="F3">
        <v>98</v>
      </c>
      <c r="G3" s="1">
        <v>13.2</v>
      </c>
      <c r="H3" s="12">
        <v>46282</v>
      </c>
      <c r="I3" s="12">
        <v>46283</v>
      </c>
      <c r="J3" s="12">
        <v>46282</v>
      </c>
      <c r="K3" s="12">
        <v>46282</v>
      </c>
      <c r="L3" s="13">
        <v>46296</v>
      </c>
      <c r="M3" s="1">
        <v>13.2</v>
      </c>
      <c r="N3" s="1" t="s">
        <v>51</v>
      </c>
      <c r="O3" t="s">
        <v>6</v>
      </c>
      <c r="P3" s="8"/>
      <c r="Q3" s="8"/>
      <c r="R3" s="8"/>
      <c r="S3" s="8"/>
      <c r="T3" s="8"/>
      <c r="U3" s="8"/>
    </row>
    <row r="4" spans="1:21" x14ac:dyDescent="0.25">
      <c r="A4" t="s">
        <v>60</v>
      </c>
      <c r="B4">
        <v>7022</v>
      </c>
      <c r="C4">
        <v>14821124000142</v>
      </c>
      <c r="D4">
        <v>1</v>
      </c>
      <c r="E4">
        <v>10426192</v>
      </c>
      <c r="F4">
        <v>98</v>
      </c>
      <c r="G4" s="1">
        <v>65.36</v>
      </c>
      <c r="H4" s="12">
        <v>46282</v>
      </c>
      <c r="I4" s="12">
        <v>46283</v>
      </c>
      <c r="J4" s="12">
        <v>46282</v>
      </c>
      <c r="K4" s="12">
        <v>46282</v>
      </c>
      <c r="L4" s="13">
        <v>46327</v>
      </c>
      <c r="M4" s="1">
        <v>65.36</v>
      </c>
      <c r="N4" s="1" t="s">
        <v>52</v>
      </c>
      <c r="O4" t="s">
        <v>7</v>
      </c>
      <c r="P4" s="8"/>
      <c r="Q4" s="8"/>
      <c r="R4" s="8"/>
      <c r="S4" s="8"/>
      <c r="T4" s="8"/>
      <c r="U4" s="8"/>
    </row>
    <row r="5" spans="1:21" x14ac:dyDescent="0.25">
      <c r="A5" t="s">
        <v>60</v>
      </c>
      <c r="B5">
        <v>7022</v>
      </c>
      <c r="C5">
        <v>14821124000142</v>
      </c>
      <c r="D5">
        <v>1</v>
      </c>
      <c r="E5">
        <v>10426189</v>
      </c>
      <c r="F5">
        <v>98</v>
      </c>
      <c r="G5" s="1">
        <v>30.8</v>
      </c>
      <c r="H5" s="12">
        <v>46282</v>
      </c>
      <c r="I5" s="12">
        <v>46283</v>
      </c>
      <c r="J5" s="12">
        <v>46282</v>
      </c>
      <c r="K5" s="12">
        <v>46282</v>
      </c>
      <c r="L5" s="13">
        <v>46357</v>
      </c>
      <c r="M5" s="1">
        <v>30.8</v>
      </c>
      <c r="N5" s="1" t="s">
        <v>53</v>
      </c>
      <c r="O5" t="s">
        <v>16</v>
      </c>
      <c r="P5" s="8"/>
      <c r="Q5" s="8"/>
      <c r="R5" s="8"/>
      <c r="S5" s="8"/>
      <c r="T5" s="8"/>
      <c r="U5" s="8"/>
    </row>
    <row r="6" spans="1:21" x14ac:dyDescent="0.25">
      <c r="A6" t="s">
        <v>60</v>
      </c>
      <c r="B6">
        <v>7022</v>
      </c>
      <c r="C6">
        <v>14821124000142</v>
      </c>
      <c r="D6">
        <v>1</v>
      </c>
      <c r="E6">
        <v>10426184</v>
      </c>
      <c r="F6">
        <v>98</v>
      </c>
      <c r="G6" s="1">
        <v>13.2</v>
      </c>
      <c r="H6" s="12">
        <v>46282</v>
      </c>
      <c r="I6" s="12">
        <v>46283</v>
      </c>
      <c r="J6" s="12">
        <v>46282</v>
      </c>
      <c r="K6" s="12">
        <v>46282</v>
      </c>
      <c r="L6" s="13">
        <v>46388</v>
      </c>
      <c r="M6" s="1">
        <v>13.2</v>
      </c>
      <c r="N6" s="1" t="s">
        <v>54</v>
      </c>
      <c r="O6" t="s">
        <v>37</v>
      </c>
      <c r="P6" s="8"/>
      <c r="Q6" s="8"/>
      <c r="R6" s="8"/>
      <c r="S6" s="8"/>
      <c r="T6" s="8"/>
      <c r="U6" s="8"/>
    </row>
    <row r="7" spans="1:21" x14ac:dyDescent="0.25">
      <c r="A7" t="s">
        <v>60</v>
      </c>
      <c r="B7">
        <v>7564</v>
      </c>
      <c r="C7">
        <v>14821124000142</v>
      </c>
      <c r="D7">
        <v>1</v>
      </c>
      <c r="E7">
        <v>2266661</v>
      </c>
      <c r="F7">
        <v>98</v>
      </c>
      <c r="G7" s="1">
        <f>G2*0.5%</f>
        <v>0.32679999999999998</v>
      </c>
      <c r="H7" s="12">
        <v>46282</v>
      </c>
      <c r="I7" s="12">
        <v>46283</v>
      </c>
      <c r="J7" s="12">
        <v>46282</v>
      </c>
      <c r="K7" s="12">
        <v>46282</v>
      </c>
      <c r="L7" s="13">
        <v>46419</v>
      </c>
      <c r="M7" s="1">
        <f>M2*0.5%</f>
        <v>0.32679999999999998</v>
      </c>
      <c r="N7" s="1" t="s">
        <v>55</v>
      </c>
      <c r="O7" t="s">
        <v>17</v>
      </c>
    </row>
    <row r="8" spans="1:21" x14ac:dyDescent="0.25">
      <c r="A8" t="s">
        <v>60</v>
      </c>
      <c r="B8">
        <v>7564</v>
      </c>
      <c r="C8">
        <v>14821124000142</v>
      </c>
      <c r="D8">
        <v>1</v>
      </c>
      <c r="E8">
        <v>321101</v>
      </c>
      <c r="F8">
        <v>98</v>
      </c>
      <c r="G8" s="1">
        <f>G3*0.5%</f>
        <v>6.6000000000000003E-2</v>
      </c>
      <c r="H8" s="12">
        <v>46282</v>
      </c>
      <c r="I8" s="12">
        <v>46283</v>
      </c>
      <c r="J8" s="12">
        <v>46282</v>
      </c>
      <c r="K8" s="12">
        <v>46282</v>
      </c>
      <c r="L8" s="13">
        <v>46447</v>
      </c>
      <c r="M8" s="1">
        <f>M3*0.5%</f>
        <v>6.6000000000000003E-2</v>
      </c>
      <c r="N8" s="1" t="s">
        <v>56</v>
      </c>
      <c r="O8" t="s">
        <v>6</v>
      </c>
    </row>
    <row r="9" spans="1:21" x14ac:dyDescent="0.25">
      <c r="A9" t="s">
        <v>60</v>
      </c>
      <c r="B9">
        <v>7564</v>
      </c>
      <c r="C9">
        <v>14821124000142</v>
      </c>
      <c r="D9">
        <v>1</v>
      </c>
      <c r="E9">
        <v>236158</v>
      </c>
      <c r="F9">
        <v>98</v>
      </c>
      <c r="G9" s="1">
        <f>G4*0.5%</f>
        <v>0.32679999999999998</v>
      </c>
      <c r="H9" s="12">
        <v>46282</v>
      </c>
      <c r="I9" s="12">
        <v>46283</v>
      </c>
      <c r="J9" s="12">
        <v>46282</v>
      </c>
      <c r="K9" s="12">
        <v>46282</v>
      </c>
      <c r="L9" s="13">
        <v>46478</v>
      </c>
      <c r="M9" s="1">
        <f>M4*0.5%</f>
        <v>0.32679999999999998</v>
      </c>
      <c r="N9" s="1" t="s">
        <v>57</v>
      </c>
      <c r="O9" t="s">
        <v>7</v>
      </c>
    </row>
    <row r="10" spans="1:21" x14ac:dyDescent="0.25">
      <c r="A10" t="s">
        <v>60</v>
      </c>
      <c r="B10">
        <v>7564</v>
      </c>
      <c r="C10">
        <v>14821124000142</v>
      </c>
      <c r="D10">
        <v>1</v>
      </c>
      <c r="E10">
        <v>6651251</v>
      </c>
      <c r="F10">
        <v>98</v>
      </c>
      <c r="G10" s="1">
        <f>G5*0.5%</f>
        <v>0.154</v>
      </c>
      <c r="H10" s="12">
        <v>46282</v>
      </c>
      <c r="I10" s="12">
        <v>46283</v>
      </c>
      <c r="J10" s="12">
        <v>46282</v>
      </c>
      <c r="K10" s="12">
        <v>46282</v>
      </c>
      <c r="L10" s="13">
        <v>46508</v>
      </c>
      <c r="M10" s="1">
        <f>M5*0.5%</f>
        <v>0.154</v>
      </c>
      <c r="N10" s="1" t="s">
        <v>58</v>
      </c>
      <c r="O10" t="s">
        <v>16</v>
      </c>
    </row>
    <row r="11" spans="1:21" x14ac:dyDescent="0.25">
      <c r="A11" t="s">
        <v>60</v>
      </c>
      <c r="B11">
        <v>7564</v>
      </c>
      <c r="C11">
        <v>14821124000142</v>
      </c>
      <c r="D11">
        <v>1</v>
      </c>
      <c r="E11">
        <v>261450</v>
      </c>
      <c r="F11">
        <v>98</v>
      </c>
      <c r="G11" s="1">
        <f>G6*0.5%</f>
        <v>6.6000000000000003E-2</v>
      </c>
      <c r="H11" s="12">
        <v>46282</v>
      </c>
      <c r="I11" s="12">
        <v>46283</v>
      </c>
      <c r="J11" s="12">
        <v>46282</v>
      </c>
      <c r="K11" s="12">
        <v>46282</v>
      </c>
      <c r="L11" s="13">
        <v>46539</v>
      </c>
      <c r="M11" s="1">
        <f>M6*0.5%</f>
        <v>6.6000000000000003E-2</v>
      </c>
      <c r="N11" s="1" t="s">
        <v>59</v>
      </c>
      <c r="O11" t="s">
        <v>37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Planilha5</vt:lpstr>
      <vt:lpstr>Planilha6</vt:lpstr>
      <vt:lpstr>Planilha7</vt:lpstr>
      <vt:lpstr>Planilha8</vt:lpstr>
      <vt:lpstr>Planilha1</vt:lpstr>
      <vt:lpstr>Planilha2</vt:lpstr>
      <vt:lpstr>Planilha2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Giannone</dc:creator>
  <cp:lastModifiedBy>Win</cp:lastModifiedBy>
  <dcterms:created xsi:type="dcterms:W3CDTF">2026-08-31T12:23:13Z</dcterms:created>
  <dcterms:modified xsi:type="dcterms:W3CDTF">2026-09-19T06:49:47Z</dcterms:modified>
</cp:coreProperties>
</file>